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Forward_MM" sheetId="2" state="visible" r:id="rId4"/>
    <sheet name="Option_Hedges" sheetId="3" state="visible" r:id="rId5"/>
    <sheet name="Sensitivity_Table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<sst xmlns="http://schemas.openxmlformats.org/spreadsheetml/2006/main" count="142" uniqueCount="128">
  <si>
    <t xml:space="preserve">FX HEDGING MODEL  —  EUR/USD Receivable</t>
  </si>
  <si>
    <t xml:space="preserve">Aerospace Manufacturer  |  Stage 2 Excel Prototype  |  All yellow cells are editable inputs</t>
  </si>
  <si>
    <t xml:space="preserve">  CORE SCENARIO ASSUMPTIONS</t>
  </si>
  <si>
    <t xml:space="preserve">FC_AMT</t>
  </si>
  <si>
    <t xml:space="preserve">EUR Receivable Amount (€)</t>
  </si>
  <si>
    <t xml:space="preserve">Notional EUR to be received at settlement</t>
  </si>
  <si>
    <t xml:space="preserve">S0_in</t>
  </si>
  <si>
    <t xml:space="preserve">Spot Rate Today (USD/EUR)</t>
  </si>
  <si>
    <t xml:space="preserve">Source: Reuters FX, Apr 14 2026</t>
  </si>
  <si>
    <t xml:space="preserve">F0_in</t>
  </si>
  <si>
    <t xml:space="preserve">Forward Rate (USD/EUR)</t>
  </si>
  <si>
    <t xml:space="preserve">6-month outright forward quote</t>
  </si>
  <si>
    <t xml:space="preserve">R_USD</t>
  </si>
  <si>
    <t xml:space="preserve">USD Interest Rate (ann.)</t>
  </si>
  <si>
    <t xml:space="preserve">SOFR + spread, annualised</t>
  </si>
  <si>
    <t xml:space="preserve">R_FC</t>
  </si>
  <si>
    <t xml:space="preserve">EUR Interest Rate (ann.)</t>
  </si>
  <si>
    <t xml:space="preserve">€STR + spread, annualised</t>
  </si>
  <si>
    <t xml:space="preserve">T_DAYS</t>
  </si>
  <si>
    <t xml:space="preserve">Days to Settlement</t>
  </si>
  <si>
    <t xml:space="preserve">Approximate settlement horizon</t>
  </si>
  <si>
    <t xml:space="preserve">  OPTION PARAMETERS</t>
  </si>
  <si>
    <t xml:space="preserve">K_PUT</t>
  </si>
  <si>
    <t xml:space="preserve">Put Strike (USD/EUR)</t>
  </si>
  <si>
    <t xml:space="preserve">Out-of-the-money put, ~2% below spot</t>
  </si>
  <si>
    <t xml:space="preserve">K_CALL</t>
  </si>
  <si>
    <t xml:space="preserve">Call Strike (USD/EUR)</t>
  </si>
  <si>
    <t xml:space="preserve">Out-of-the-money call for collar</t>
  </si>
  <si>
    <t xml:space="preserve">PREM_PUT</t>
  </si>
  <si>
    <t xml:space="preserve">Put Premium (USD per EUR)</t>
  </si>
  <si>
    <t xml:space="preserve">~0.78% of notional; market indicative</t>
  </si>
  <si>
    <t xml:space="preserve">PREM_CALL</t>
  </si>
  <si>
    <t xml:space="preserve">Call Premium (USD per EUR)</t>
  </si>
  <si>
    <t xml:space="preserve">~0.78% of notional; set equal for ZCC</t>
  </si>
  <si>
    <t xml:space="preserve">  DERIVED CHECKS (auto-calculated)</t>
  </si>
  <si>
    <t xml:space="preserve">Base USD Proceeds (forward)</t>
  </si>
  <si>
    <t xml:space="preserve">MM Forward (parity check)</t>
  </si>
  <si>
    <t xml:space="preserve">Forward vs MM diff (bps)</t>
  </si>
  <si>
    <t xml:space="preserve">Put cost total (USD)</t>
  </si>
  <si>
    <t xml:space="preserve">Call premium total (USD)</t>
  </si>
  <si>
    <t xml:space="preserve">Net collar premium (USD)</t>
  </si>
  <si>
    <t xml:space="preserve">FORWARD CONTRACT &amp; MONEY MARKET HEDGE</t>
  </si>
  <si>
    <t xml:space="preserve">The Forward locks in the rate today. The Money Market Hedge replicates it by borrowing EUR, converting at spot, and investing USD. Interest-rate parity implies Forward ≈ MM result.</t>
  </si>
  <si>
    <t xml:space="preserve">  A.  FORWARD CONTRACT HEDGE</t>
  </si>
  <si>
    <t xml:space="preserve">Parameter</t>
  </si>
  <si>
    <t xml:space="preserve">Value</t>
  </si>
  <si>
    <t xml:space="preserve">Format</t>
  </si>
  <si>
    <t xml:space="preserve">EUR Notional</t>
  </si>
  <si>
    <t xml:space="preserve">FC_AMT pulled from Inputs</t>
  </si>
  <si>
    <t xml:space="preserve">Forward Rate locked</t>
  </si>
  <si>
    <t xml:space="preserve">F0_in from Inputs</t>
  </si>
  <si>
    <t xml:space="preserve">USD Proceeds (locked)</t>
  </si>
  <si>
    <t xml:space="preserve">Fully hedged receipt</t>
  </si>
  <si>
    <t xml:space="preserve">⟹  Net USD received at settlement (forward)</t>
  </si>
  <si>
    <t xml:space="preserve">  B.  MONEY MARKET HEDGE  (replication)</t>
  </si>
  <si>
    <t xml:space="preserve">Step</t>
  </si>
  <si>
    <t xml:space="preserve">Description</t>
  </si>
  <si>
    <t xml:space="preserve">Amount (USD/EUR)</t>
  </si>
  <si>
    <t xml:space="preserve">Step 1</t>
  </si>
  <si>
    <t xml:space="preserve">PV of EUR receivable (borrow this amt in EUR today)</t>
  </si>
  <si>
    <t xml:space="preserve">Step 2</t>
  </si>
  <si>
    <t xml:space="preserve">Convert EUR to USD at spot rate</t>
  </si>
  <si>
    <t xml:space="preserve">Step 3</t>
  </si>
  <si>
    <t xml:space="preserve">Invest USD for T days at R_USD</t>
  </si>
  <si>
    <t xml:space="preserve">→ Implied MM Forward Rate</t>
  </si>
  <si>
    <t xml:space="preserve">USD proceeds / FC_AMT (implied fwd)</t>
  </si>
  <si>
    <t xml:space="preserve">⟹  Net USD received (MM replication)</t>
  </si>
  <si>
    <t xml:space="preserve">  C.  INTEREST RATE PARITY CHECK</t>
  </si>
  <si>
    <t xml:space="preserve">Forward Rate (bank quote)</t>
  </si>
  <si>
    <t xml:space="preserve">MM Implied Forward Rate</t>
  </si>
  <si>
    <t xml:space="preserve">Difference (bps)</t>
  </si>
  <si>
    <t xml:space="preserve">Parity Check</t>
  </si>
  <si>
    <t xml:space="preserve">OPTION HEDGES  —  Put, Call &amp; Zero-Cost Collar</t>
  </si>
  <si>
    <t xml:space="preserve">Payoffs calculated at a user-supplied settlement spot rate S_T.  Change S_T in cell C5 to see how each strategy performs.  Premium costs are deducted to show net USD proceeds.</t>
  </si>
  <si>
    <t xml:space="preserve">  SETTLEMENT SPOT RATE (S_T)  —  change this cell to stress-test</t>
  </si>
  <si>
    <t xml:space="preserve">S_T  — Settlement EUR/USD spot</t>
  </si>
  <si>
    <t xml:space="preserve">← Change to see payoff impact</t>
  </si>
  <si>
    <t xml:space="preserve">  A.  LONG PUT (buy downside protection)</t>
  </si>
  <si>
    <t xml:space="preserve">Item</t>
  </si>
  <si>
    <t xml:space="preserve">Formula / Logic</t>
  </si>
  <si>
    <t xml:space="preserve">Put Strike K_PUT</t>
  </si>
  <si>
    <t xml:space="preserve">Settlement Spot S_T</t>
  </si>
  <si>
    <t xml:space="preserve">Put Payoff (per EUR)</t>
  </si>
  <si>
    <t xml:space="preserve">Total Put Payoff (USD)</t>
  </si>
  <si>
    <t xml:space="preserve">Put Premium Paid (USD)</t>
  </si>
  <si>
    <t xml:space="preserve">Spot Conversion (USD)</t>
  </si>
  <si>
    <t xml:space="preserve">Net USD Proceeds</t>
  </si>
  <si>
    <t xml:space="preserve">⟹  Net USD received (long put hedge)</t>
  </si>
  <si>
    <t xml:space="preserve">  B.  ZERO-COST COLLAR  (long put + short call)</t>
  </si>
  <si>
    <t xml:space="preserve">Call Strike K_CALL</t>
  </si>
  <si>
    <t xml:space="preserve">Call Liability (per EUR)</t>
  </si>
  <si>
    <t xml:space="preserve">Net Option Payoff (USD)</t>
  </si>
  <si>
    <t xml:space="preserve">Net Collar Premium (USD)</t>
  </si>
  <si>
    <t xml:space="preserve">⟹  Net USD received (zero-cost collar)</t>
  </si>
  <si>
    <t xml:space="preserve">SENSITIVITY TABLE  —  S_T from 0.95×S₀ to 1.05×S₀  (1% steps)</t>
  </si>
  <si>
    <t xml:space="preserve">All four hedging outcomes compared side-by-side as EUR/USD settlement rate varies. Conditional formatting highlights which strategy dominates at each rate.</t>
  </si>
  <si>
    <t xml:space="preserve">S_T (EUR/USD)</t>
  </si>
  <si>
    <t xml:space="preserve">Unhedged (USD)</t>
  </si>
  <si>
    <t xml:space="preserve">Forward (USD)</t>
  </si>
  <si>
    <t xml:space="preserve">Long Put (USD)</t>
  </si>
  <si>
    <t xml:space="preserve">Collar (USD)</t>
  </si>
  <si>
    <t xml:space="preserve">Best Strategy</t>
  </si>
  <si>
    <t xml:space="preserve">vs Forward ($)</t>
  </si>
  <si>
    <t xml:space="preserve">HEDGE STRATEGY COMPARISON  —  SUMMARY DASHBOARD</t>
  </si>
  <si>
    <t xml:space="preserve">Scenario: €20M EUR/USD receivable  |  Forward rate: 1.0930  |  Settlement: ~180 days</t>
  </si>
  <si>
    <t xml:space="preserve">  STRATEGY OUTCOMES AT CURRENT FORWARD RATE</t>
  </si>
  <si>
    <t xml:space="preserve">Strategy</t>
  </si>
  <si>
    <t xml:space="preserve">Gross USD</t>
  </si>
  <si>
    <t xml:space="preserve">Cost / Premium</t>
  </si>
  <si>
    <t xml:space="preserve">vs Unhedged</t>
  </si>
  <si>
    <t xml:space="preserve">Key Trade-off</t>
  </si>
  <si>
    <t xml:space="preserve">Unhedged</t>
  </si>
  <si>
    <t xml:space="preserve">—</t>
  </si>
  <si>
    <t xml:space="preserve">Full P&amp;L exposure to EUR/USD vol</t>
  </si>
  <si>
    <t xml:space="preserve">Forward Contract</t>
  </si>
  <si>
    <t xml:space="preserve">None</t>
  </si>
  <si>
    <t xml:space="preserve">Certainty, no upside participation</t>
  </si>
  <si>
    <t xml:space="preserve">Long Put Option</t>
  </si>
  <si>
    <t xml:space="preserve">Floor set; upside open; premium cost</t>
  </si>
  <si>
    <t xml:space="preserve">Zero-Cost Collar</t>
  </si>
  <si>
    <t xml:space="preserve">No premium; upside capped at K_CALL</t>
  </si>
  <si>
    <t xml:space="preserve">  KEY RISK METRICS</t>
  </si>
  <si>
    <t xml:space="preserve">1-cent EUR/USD move  →  P&amp;L impact</t>
  </si>
  <si>
    <t xml:space="preserve">10-cent move (typical 6m range)</t>
  </si>
  <si>
    <t xml:space="preserve">Forward breakeven vs unhedged</t>
  </si>
  <si>
    <t xml:space="preserve">Put effective floor (after premium)</t>
  </si>
  <si>
    <t xml:space="preserve">Collar floor</t>
  </si>
  <si>
    <t xml:space="preserve">Collar cap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</si>
</sst>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"/>
    <numFmt numFmtId="166" formatCode="0.0000"/>
    <numFmt numFmtId="167" formatCode="0.00%"/>
    <numFmt numFmtId="168" formatCode="0"/>
    <numFmt numFmtId="169" formatCode="\$#,##0"/>
    <numFmt numFmtId="170" formatCode="0.00"/>
    <numFmt numFmtId="171" formatCode="\$#,##0&quot;  EUR&quot;"/>
    <numFmt numFmtId="172" formatCode="\$#,##0&quot;  USD&quot;"/>
    <numFmt numFmtId="173" formatCode="0&quot; days&quot;"/>
    <numFmt numFmtId="174" formatCode="0.00&quot;  EUR&quot;"/>
    <numFmt numFmtId="175" formatCode="0.00&quot; bps&quot;"/>
    <numFmt numFmtId="176" formatCode="0.0000&quot; USD/EUR&quot;"/>
    <numFmt numFmtId="177" formatCode="&quot;($&quot;#,##0&quot;)  USD&quot;"/>
    <numFmt numFmtId="178" formatCode="\$#,##0;&quot;($&quot;#,##0\);\-"/>
    <numFmt numFmtId="179" formatCode="&quot;($&quot;#,##0\)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BF9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44444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808000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DEEAF1"/>
      </patternFill>
    </fill>
    <fill>
      <patternFill patternType="solid">
        <fgColor rgb="FFDEEAF1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DEEAF1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66"/>
      <rgbColor rgb="FF888888"/>
      <rgbColor rgb="FF1F3864"/>
      <rgbColor rgb="FF2E7D32"/>
      <rgbColor rgb="FF003300"/>
      <rgbColor rgb="FF375623"/>
      <rgbColor rgb="FF993300"/>
      <rgbColor rgb="FF993366"/>
      <rgbColor rgb="FF2F5496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 Proceeds by Strategy vs Settlement Spot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Sensitivity_Table!B4</c:f>
              <c:strCache>
                <c:ptCount val="1"/>
                <c:pt idx="0">
                  <c:v>Unhedged (USD)</c:v>
                </c:pt>
              </c:strCache>
            </c:strRef>
          </c:tx>
          <c:spPr>
            <a:solidFill>
              <a:srgbClr val="ff6b6b"/>
            </a:solidFill>
            <a:ln w="20160">
              <a:solidFill>
                <a:srgbClr val="ff6b6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Sensitivity_Table!$A$5:$A$15</c:f>
              <c:strCache>
                <c:ptCount val="11"/>
                <c:pt idx="0">
                  <c:v>19000000.0000</c:v>
                </c:pt>
                <c:pt idx="1">
                  <c:v>19200000.0000</c:v>
                </c:pt>
                <c:pt idx="2">
                  <c:v>19400000.0000</c:v>
                </c:pt>
                <c:pt idx="3">
                  <c:v>19600000.0000</c:v>
                </c:pt>
                <c:pt idx="4">
                  <c:v>19800000.0000</c:v>
                </c:pt>
                <c:pt idx="5">
                  <c:v>20000000.0000</c:v>
                </c:pt>
                <c:pt idx="6">
                  <c:v>20200000.0000</c:v>
                </c:pt>
                <c:pt idx="7">
                  <c:v>20400000.0000</c:v>
                </c:pt>
                <c:pt idx="8">
                  <c:v>20600000.0000</c:v>
                </c:pt>
                <c:pt idx="9">
                  <c:v>20800000.0000</c:v>
                </c:pt>
                <c:pt idx="10">
                  <c:v>21000000.0000</c:v>
                </c:pt>
              </c:strCache>
            </c:strRef>
          </c:cat>
          <c:val>
            <c:numRef>
              <c:f>Sensitivity_Table!$B$5:$B$15</c:f>
              <c:numCache>
                <c:formatCode>\$#,##0</c:formatCode>
                <c:ptCount val="11"/>
                <c:pt idx="0">
                  <c:v>380000000000000</c:v>
                </c:pt>
                <c:pt idx="1">
                  <c:v>384000000000000</c:v>
                </c:pt>
                <c:pt idx="2">
                  <c:v>388000000000000</c:v>
                </c:pt>
                <c:pt idx="3">
                  <c:v>392000000000000</c:v>
                </c:pt>
                <c:pt idx="4">
                  <c:v>396000000000000</c:v>
                </c:pt>
                <c:pt idx="5">
                  <c:v>400000000000000</c:v>
                </c:pt>
                <c:pt idx="6">
                  <c:v>404000000000000</c:v>
                </c:pt>
                <c:pt idx="7">
                  <c:v>408000000000000</c:v>
                </c:pt>
                <c:pt idx="8">
                  <c:v>412000000000000</c:v>
                </c:pt>
                <c:pt idx="9">
                  <c:v>416000000000000</c:v>
                </c:pt>
                <c:pt idx="10">
                  <c:v>420000000000000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Sensitivity_Table!C4</c:f>
              <c:strCache>
                <c:ptCount val="1"/>
                <c:pt idx="0">
                  <c:v>Forward (USD)</c:v>
                </c:pt>
              </c:strCache>
            </c:strRef>
          </c:tx>
          <c:spPr>
            <a:solidFill>
              <a:srgbClr val="1f3864"/>
            </a:solidFill>
            <a:ln w="201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Sensitivity_Table!$A$5:$A$15</c:f>
              <c:strCache>
                <c:ptCount val="11"/>
                <c:pt idx="0">
                  <c:v>19000000.0000</c:v>
                </c:pt>
                <c:pt idx="1">
                  <c:v>19200000.0000</c:v>
                </c:pt>
                <c:pt idx="2">
                  <c:v>19400000.0000</c:v>
                </c:pt>
                <c:pt idx="3">
                  <c:v>19600000.0000</c:v>
                </c:pt>
                <c:pt idx="4">
                  <c:v>19800000.0000</c:v>
                </c:pt>
                <c:pt idx="5">
                  <c:v>20000000.0000</c:v>
                </c:pt>
                <c:pt idx="6">
                  <c:v>20200000.0000</c:v>
                </c:pt>
                <c:pt idx="7">
                  <c:v>20400000.0000</c:v>
                </c:pt>
                <c:pt idx="8">
                  <c:v>20600000.0000</c:v>
                </c:pt>
                <c:pt idx="9">
                  <c:v>20800000.0000</c:v>
                </c:pt>
                <c:pt idx="10">
                  <c:v>21000000.0000</c:v>
                </c:pt>
              </c:strCache>
            </c:strRef>
          </c:cat>
          <c:val>
            <c:numRef>
              <c:f>Sensitivity_Table!$C$5:$C$15</c:f>
              <c:numCache>
                <c:formatCode>\$#,##0</c:formatCode>
                <c:ptCount val="11"/>
                <c:pt idx="0">
                  <c:v>21860000</c:v>
                </c:pt>
                <c:pt idx="1">
                  <c:v>21860000</c:v>
                </c:pt>
                <c:pt idx="2">
                  <c:v>21860000</c:v>
                </c:pt>
                <c:pt idx="3">
                  <c:v>21860000</c:v>
                </c:pt>
                <c:pt idx="4">
                  <c:v>21860000</c:v>
                </c:pt>
                <c:pt idx="5">
                  <c:v>21860000</c:v>
                </c:pt>
                <c:pt idx="6">
                  <c:v>21860000</c:v>
                </c:pt>
                <c:pt idx="7">
                  <c:v>21860000</c:v>
                </c:pt>
                <c:pt idx="8">
                  <c:v>21860000</c:v>
                </c:pt>
                <c:pt idx="9">
                  <c:v>21860000</c:v>
                </c:pt>
                <c:pt idx="10">
                  <c:v>21860000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Sensitivity_Table!D4</c:f>
              <c:strCache>
                <c:ptCount val="1"/>
                <c:pt idx="0">
                  <c:v>Long Put (USD)</c:v>
                </c:pt>
              </c:strCache>
            </c:strRef>
          </c:tx>
          <c:spPr>
            <a:solidFill>
              <a:srgbClr val="2f5496"/>
            </a:solidFill>
            <a:ln w="20160">
              <a:solidFill>
                <a:srgbClr val="2f549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Sensitivity_Table!$A$5:$A$15</c:f>
              <c:strCache>
                <c:ptCount val="11"/>
                <c:pt idx="0">
                  <c:v>19000000.0000</c:v>
                </c:pt>
                <c:pt idx="1">
                  <c:v>19200000.0000</c:v>
                </c:pt>
                <c:pt idx="2">
                  <c:v>19400000.0000</c:v>
                </c:pt>
                <c:pt idx="3">
                  <c:v>19600000.0000</c:v>
                </c:pt>
                <c:pt idx="4">
                  <c:v>19800000.0000</c:v>
                </c:pt>
                <c:pt idx="5">
                  <c:v>20000000.0000</c:v>
                </c:pt>
                <c:pt idx="6">
                  <c:v>20200000.0000</c:v>
                </c:pt>
                <c:pt idx="7">
                  <c:v>20400000.0000</c:v>
                </c:pt>
                <c:pt idx="8">
                  <c:v>20600000.0000</c:v>
                </c:pt>
                <c:pt idx="9">
                  <c:v>20800000.0000</c:v>
                </c:pt>
                <c:pt idx="10">
                  <c:v>21000000.0000</c:v>
                </c:pt>
              </c:strCache>
            </c:strRef>
          </c:cat>
          <c:val>
            <c:numRef>
              <c:f>Sensitivity_Table!$D$5:$D$15</c:f>
              <c:numCache>
                <c:formatCode>\$#,##0</c:formatCode>
                <c:ptCount val="11"/>
                <c:pt idx="0">
                  <c:v>379999999830000</c:v>
                </c:pt>
                <c:pt idx="1">
                  <c:v>383999999830000</c:v>
                </c:pt>
                <c:pt idx="2">
                  <c:v>387999999830000</c:v>
                </c:pt>
                <c:pt idx="3">
                  <c:v>391999999830000</c:v>
                </c:pt>
                <c:pt idx="4">
                  <c:v>395999999830000</c:v>
                </c:pt>
                <c:pt idx="5">
                  <c:v>399999999830000</c:v>
                </c:pt>
                <c:pt idx="6">
                  <c:v>403999999830000</c:v>
                </c:pt>
                <c:pt idx="7">
                  <c:v>407999999830000</c:v>
                </c:pt>
                <c:pt idx="8">
                  <c:v>411999999830000</c:v>
                </c:pt>
                <c:pt idx="9">
                  <c:v>415999999830000</c:v>
                </c:pt>
                <c:pt idx="10">
                  <c:v>419999999830000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Sensitivity_Table!E4</c:f>
              <c:strCache>
                <c:ptCount val="1"/>
                <c:pt idx="0">
                  <c:v>Collar (USD)</c:v>
                </c:pt>
              </c:strCache>
            </c:strRef>
          </c:tx>
          <c:spPr>
            <a:solidFill>
              <a:srgbClr val="bf9000"/>
            </a:solidFill>
            <a:ln w="2016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Sensitivity_Table!$A$5:$A$15</c:f>
              <c:strCache>
                <c:ptCount val="11"/>
                <c:pt idx="0">
                  <c:v>19000000.0000</c:v>
                </c:pt>
                <c:pt idx="1">
                  <c:v>19200000.0000</c:v>
                </c:pt>
                <c:pt idx="2">
                  <c:v>19400000.0000</c:v>
                </c:pt>
                <c:pt idx="3">
                  <c:v>19600000.0000</c:v>
                </c:pt>
                <c:pt idx="4">
                  <c:v>19800000.0000</c:v>
                </c:pt>
                <c:pt idx="5">
                  <c:v>20000000.0000</c:v>
                </c:pt>
                <c:pt idx="6">
                  <c:v>20200000.0000</c:v>
                </c:pt>
                <c:pt idx="7">
                  <c:v>20400000.0000</c:v>
                </c:pt>
                <c:pt idx="8">
                  <c:v>20600000.0000</c:v>
                </c:pt>
                <c:pt idx="9">
                  <c:v>20800000.0000</c:v>
                </c:pt>
                <c:pt idx="10">
                  <c:v>21000000.0000</c:v>
                </c:pt>
              </c:strCache>
            </c:strRef>
          </c:cat>
          <c:val>
            <c:numRef>
              <c:f>Sensitivity_Table!$E$5:$E$15</c:f>
              <c:numCache>
                <c:formatCode>\$#,##0</c:formatCode>
                <c:ptCount val="11"/>
                <c:pt idx="0">
                  <c:v>22400000</c:v>
                </c:pt>
                <c:pt idx="1">
                  <c:v>22400000</c:v>
                </c:pt>
                <c:pt idx="2">
                  <c:v>22400000</c:v>
                </c:pt>
                <c:pt idx="3">
                  <c:v>22400000</c:v>
                </c:pt>
                <c:pt idx="4">
                  <c:v>22400000</c:v>
                </c:pt>
                <c:pt idx="5">
                  <c:v>22400000</c:v>
                </c:pt>
                <c:pt idx="6">
                  <c:v>22400000</c:v>
                </c:pt>
                <c:pt idx="7">
                  <c:v>22400000</c:v>
                </c:pt>
                <c:pt idx="8">
                  <c:v>22400000</c:v>
                </c:pt>
                <c:pt idx="9">
                  <c:v>22400000</c:v>
                </c:pt>
                <c:pt idx="10">
                  <c:v>22400000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778734"/>
        <c:axId val="56085690"/>
      </c:lineChart>
      <c:catAx>
        <c:axId val="887787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Settlement Spot Rate (EUR/USD)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85690"/>
        <c:crosses val="autoZero"/>
        <c:auto val="1"/>
        <c:lblAlgn val="ctr"/>
        <c:lblOffset val="100"/>
        <c:noMultiLvlLbl val="0"/>
      </c:catAx>
      <c:valAx>
        <c:axId val="560856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787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6</xdr:col>
      <xdr:colOff>447120</xdr:colOff>
      <xdr:row>40</xdr:row>
      <xdr:rowOff>106560</xdr:rowOff>
    </xdr:to>
    <xdr:graphicFrame>
      <xdr:nvGraphicFramePr>
        <xdr:cNvPr id="0" name="Chart 1"/>
        <xdr:cNvGraphicFramePr/>
      </xdr:nvGraphicFramePr>
      <xdr:xfrm>
        <a:off x="0" y="3591000"/>
        <a:ext cx="7918560" cy="46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46"/>
    <col collapsed="false" customWidth="true" hidden="false" outlineLevel="0" max="6" min="5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.75" hidden="false" customHeight="true" outlineLevel="0" collapsed="false">
      <c r="A5" s="5" t="s">
        <v>3</v>
      </c>
      <c r="B5" s="6" t="s">
        <v>4</v>
      </c>
      <c r="C5" s="7" t="n">
        <v>20000000</v>
      </c>
      <c r="D5" s="8" t="s">
        <v>5</v>
      </c>
    </row>
    <row r="6" customFormat="false" ht="15.75" hidden="false" customHeight="true" outlineLevel="0" collapsed="false">
      <c r="A6" s="5" t="s">
        <v>6</v>
      </c>
      <c r="B6" s="6" t="s">
        <v>7</v>
      </c>
      <c r="C6" s="9" t="n">
        <v>1.093</v>
      </c>
      <c r="D6" s="8" t="s">
        <v>8</v>
      </c>
    </row>
    <row r="7" customFormat="false" ht="15.75" hidden="false" customHeight="true" outlineLevel="0" collapsed="false">
      <c r="A7" s="5" t="s">
        <v>9</v>
      </c>
      <c r="B7" s="6" t="s">
        <v>10</v>
      </c>
      <c r="C7" s="9" t="n">
        <v>1.093</v>
      </c>
      <c r="D7" s="8" t="s">
        <v>11</v>
      </c>
    </row>
    <row r="8" customFormat="false" ht="15.75" hidden="false" customHeight="true" outlineLevel="0" collapsed="false">
      <c r="A8" s="5" t="s">
        <v>12</v>
      </c>
      <c r="B8" s="6" t="s">
        <v>13</v>
      </c>
      <c r="C8" s="10" t="n">
        <v>0.0525</v>
      </c>
      <c r="D8" s="8" t="s">
        <v>14</v>
      </c>
    </row>
    <row r="9" customFormat="false" ht="15.75" hidden="false" customHeight="true" outlineLevel="0" collapsed="false">
      <c r="A9" s="5" t="s">
        <v>15</v>
      </c>
      <c r="B9" s="6" t="s">
        <v>16</v>
      </c>
      <c r="C9" s="10" t="n">
        <v>0.0385</v>
      </c>
      <c r="D9" s="8" t="s">
        <v>17</v>
      </c>
    </row>
    <row r="10" customFormat="false" ht="15.75" hidden="false" customHeight="true" outlineLevel="0" collapsed="false">
      <c r="A10" s="5" t="s">
        <v>18</v>
      </c>
      <c r="B10" s="6" t="s">
        <v>19</v>
      </c>
      <c r="C10" s="11" t="n">
        <v>180</v>
      </c>
      <c r="D10" s="8" t="s">
        <v>20</v>
      </c>
    </row>
    <row r="11" customFormat="false" ht="7.5" hidden="false" customHeight="true" outlineLevel="0" collapsed="false"/>
    <row r="12" customFormat="false" ht="18" hidden="false" customHeight="true" outlineLevel="0" collapsed="false">
      <c r="A12" s="12" t="s">
        <v>21</v>
      </c>
      <c r="B12" s="12"/>
      <c r="C12" s="12"/>
      <c r="D12" s="12"/>
      <c r="E12" s="12"/>
      <c r="F12" s="12"/>
    </row>
    <row r="13" customFormat="false" ht="15.75" hidden="false" customHeight="true" outlineLevel="0" collapsed="false">
      <c r="A13" s="13" t="s">
        <v>22</v>
      </c>
      <c r="B13" s="6" t="s">
        <v>23</v>
      </c>
      <c r="C13" s="9" t="n">
        <v>1.07</v>
      </c>
      <c r="D13" s="8" t="s">
        <v>24</v>
      </c>
    </row>
    <row r="14" customFormat="false" ht="15.75" hidden="false" customHeight="true" outlineLevel="0" collapsed="false">
      <c r="A14" s="13" t="s">
        <v>25</v>
      </c>
      <c r="B14" s="6" t="s">
        <v>26</v>
      </c>
      <c r="C14" s="9" t="n">
        <v>1.12</v>
      </c>
      <c r="D14" s="8" t="s">
        <v>27</v>
      </c>
    </row>
    <row r="15" customFormat="false" ht="15.75" hidden="false" customHeight="true" outlineLevel="0" collapsed="false">
      <c r="A15" s="13" t="s">
        <v>28</v>
      </c>
      <c r="B15" s="6" t="s">
        <v>29</v>
      </c>
      <c r="C15" s="9" t="n">
        <v>0.0085</v>
      </c>
      <c r="D15" s="8" t="s">
        <v>30</v>
      </c>
    </row>
    <row r="16" customFormat="false" ht="15.75" hidden="false" customHeight="true" outlineLevel="0" collapsed="false">
      <c r="A16" s="13" t="s">
        <v>31</v>
      </c>
      <c r="B16" s="6" t="s">
        <v>32</v>
      </c>
      <c r="C16" s="9" t="n">
        <v>0.0085</v>
      </c>
      <c r="D16" s="8" t="s">
        <v>33</v>
      </c>
    </row>
    <row r="17" customFormat="false" ht="7.5" hidden="false" customHeight="true" outlineLevel="0" collapsed="false"/>
    <row r="18" customFormat="false" ht="18" hidden="false" customHeight="true" outlineLevel="0" collapsed="false">
      <c r="A18" s="14" t="s">
        <v>34</v>
      </c>
      <c r="B18" s="14"/>
      <c r="C18" s="14"/>
      <c r="D18" s="14"/>
      <c r="E18" s="14"/>
      <c r="F18" s="14"/>
    </row>
    <row r="19" customFormat="false" ht="15.75" hidden="false" customHeight="true" outlineLevel="0" collapsed="false">
      <c r="A19" s="6" t="s">
        <v>35</v>
      </c>
      <c r="B19" s="15" t="n">
        <f aca="false">C7*C5</f>
        <v>21860000</v>
      </c>
      <c r="C19" s="16"/>
    </row>
    <row r="20" customFormat="false" ht="15.75" hidden="false" customHeight="true" outlineLevel="0" collapsed="false">
      <c r="A20" s="6" t="s">
        <v>36</v>
      </c>
      <c r="B20" s="17" t="n">
        <f aca="false">C6*(1+C8)^(C10/360)/(1+C9)^(C10/360)</f>
        <v>1.10034269293131</v>
      </c>
      <c r="C20" s="16"/>
    </row>
    <row r="21" customFormat="false" ht="15.75" hidden="false" customHeight="true" outlineLevel="0" collapsed="false">
      <c r="A21" s="6" t="s">
        <v>37</v>
      </c>
      <c r="B21" s="18" t="n">
        <f aca="false">(C7-B20)*10000</f>
        <v>-73.4269293131473</v>
      </c>
      <c r="C21" s="16"/>
    </row>
    <row r="22" customFormat="false" ht="15.75" hidden="false" customHeight="true" outlineLevel="0" collapsed="false">
      <c r="A22" s="6" t="s">
        <v>38</v>
      </c>
      <c r="B22" s="15" t="n">
        <f aca="false">C15*C5</f>
        <v>170000</v>
      </c>
      <c r="C22" s="16"/>
    </row>
    <row r="23" customFormat="false" ht="15.75" hidden="false" customHeight="true" outlineLevel="0" collapsed="false">
      <c r="A23" s="6" t="s">
        <v>39</v>
      </c>
      <c r="B23" s="15" t="n">
        <f aca="false">C16*C5</f>
        <v>170000</v>
      </c>
      <c r="C23" s="16"/>
    </row>
    <row r="24" customFormat="false" ht="15.75" hidden="false" customHeight="true" outlineLevel="0" collapsed="false">
      <c r="A24" s="6" t="s">
        <v>40</v>
      </c>
      <c r="B24" s="15" t="n">
        <f aca="false">(C15-C16)*C5</f>
        <v>0</v>
      </c>
      <c r="C24" s="16"/>
    </row>
  </sheetData>
  <mergeCells count="5">
    <mergeCell ref="A1:F1"/>
    <mergeCell ref="A2:F2"/>
    <mergeCell ref="A4:F4"/>
    <mergeCell ref="A12:F12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20"/>
  </cols>
  <sheetData>
    <row r="1" customFormat="false" ht="27.75" hidden="false" customHeight="true" outlineLevel="0" collapsed="false">
      <c r="A1" s="19" t="s">
        <v>41</v>
      </c>
      <c r="B1" s="19"/>
      <c r="C1" s="19"/>
      <c r="D1" s="19"/>
      <c r="E1" s="19"/>
      <c r="F1" s="19"/>
      <c r="G1" s="19"/>
    </row>
    <row r="2" customFormat="false" ht="27.75" hidden="false" customHeight="true" outlineLevel="0" collapsed="false">
      <c r="A2" s="20" t="s">
        <v>42</v>
      </c>
      <c r="B2" s="20"/>
      <c r="C2" s="20"/>
      <c r="D2" s="20"/>
      <c r="E2" s="20"/>
      <c r="F2" s="20"/>
      <c r="G2" s="20"/>
    </row>
    <row r="4" customFormat="false" ht="18" hidden="false" customHeight="true" outlineLevel="0" collapsed="false">
      <c r="A4" s="4" t="s">
        <v>43</v>
      </c>
      <c r="B4" s="4"/>
      <c r="C4" s="4"/>
      <c r="D4" s="4"/>
      <c r="E4" s="4"/>
      <c r="F4" s="4"/>
      <c r="G4" s="4"/>
    </row>
    <row r="5" customFormat="false" ht="15" hidden="false" customHeight="true" outlineLevel="0" collapsed="false">
      <c r="A5" s="21" t="s">
        <v>44</v>
      </c>
      <c r="B5" s="21" t="s">
        <v>45</v>
      </c>
      <c r="C5" s="21" t="s">
        <v>46</v>
      </c>
    </row>
    <row r="6" customFormat="false" ht="15.75" hidden="false" customHeight="true" outlineLevel="0" collapsed="false">
      <c r="A6" s="6" t="s">
        <v>47</v>
      </c>
      <c r="B6" s="22" t="n">
        <f aca="false">Inputs!C5</f>
        <v>20000000</v>
      </c>
      <c r="C6" s="23" t="s">
        <v>48</v>
      </c>
    </row>
    <row r="7" customFormat="false" ht="15.75" hidden="false" customHeight="true" outlineLevel="0" collapsed="false">
      <c r="A7" s="6" t="s">
        <v>49</v>
      </c>
      <c r="B7" s="24" t="n">
        <f aca="false">Inputs!C7</f>
        <v>1.093</v>
      </c>
      <c r="C7" s="23" t="s">
        <v>50</v>
      </c>
    </row>
    <row r="8" customFormat="false" ht="15.75" hidden="false" customHeight="true" outlineLevel="0" collapsed="false">
      <c r="A8" s="6" t="s">
        <v>51</v>
      </c>
      <c r="B8" s="25" t="n">
        <f aca="false">B6*B7</f>
        <v>21860000</v>
      </c>
      <c r="C8" s="23" t="s">
        <v>52</v>
      </c>
    </row>
    <row r="9" customFormat="false" ht="15.75" hidden="false" customHeight="true" outlineLevel="0" collapsed="false">
      <c r="A9" s="6" t="s">
        <v>19</v>
      </c>
      <c r="B9" s="26" t="n">
        <f aca="false">Inputs!C10</f>
        <v>180</v>
      </c>
      <c r="C9" s="23" t="s">
        <v>18</v>
      </c>
    </row>
    <row r="10" customFormat="false" ht="19.5" hidden="false" customHeight="true" outlineLevel="0" collapsed="false">
      <c r="A10" s="27" t="s">
        <v>53</v>
      </c>
      <c r="B10" s="27"/>
      <c r="C10" s="27"/>
      <c r="D10" s="28" t="n">
        <f aca="false">B8</f>
        <v>21860000</v>
      </c>
    </row>
    <row r="12" customFormat="false" ht="18" hidden="false" customHeight="true" outlineLevel="0" collapsed="false">
      <c r="A12" s="12" t="s">
        <v>54</v>
      </c>
      <c r="B12" s="12"/>
      <c r="C12" s="12"/>
      <c r="D12" s="12"/>
      <c r="E12" s="12"/>
      <c r="F12" s="12"/>
      <c r="G12" s="12"/>
    </row>
    <row r="13" customFormat="false" ht="15" hidden="false" customHeight="true" outlineLevel="0" collapsed="false">
      <c r="A13" s="29" t="s">
        <v>55</v>
      </c>
      <c r="B13" s="29" t="s">
        <v>56</v>
      </c>
      <c r="C13" s="29" t="s">
        <v>57</v>
      </c>
    </row>
    <row r="14" customFormat="false" ht="15.75" hidden="false" customHeight="true" outlineLevel="0" collapsed="false">
      <c r="A14" s="13" t="s">
        <v>58</v>
      </c>
      <c r="B14" s="6" t="s">
        <v>59</v>
      </c>
      <c r="C14" s="30" t="n">
        <f aca="false">Inputs!C5/(1+Inputs!C9)^(Inputs!C10/360)</f>
        <v>19625771.8216525</v>
      </c>
    </row>
    <row r="15" customFormat="false" ht="15.75" hidden="false" customHeight="true" outlineLevel="0" collapsed="false">
      <c r="A15" s="13" t="s">
        <v>60</v>
      </c>
      <c r="B15" s="6" t="s">
        <v>61</v>
      </c>
      <c r="C15" s="31" t="n">
        <f aca="false">C14*Inputs!C6</f>
        <v>21450968.6010662</v>
      </c>
    </row>
    <row r="16" customFormat="false" ht="15.75" hidden="false" customHeight="true" outlineLevel="0" collapsed="false">
      <c r="A16" s="13" t="s">
        <v>62</v>
      </c>
      <c r="B16" s="6" t="s">
        <v>63</v>
      </c>
      <c r="C16" s="32" t="n">
        <f aca="false">C15*(1+Inputs!C8)^(Inputs!C10/360)</f>
        <v>22006853.8586263</v>
      </c>
    </row>
    <row r="17" customFormat="false" ht="15.75" hidden="false" customHeight="true" outlineLevel="0" collapsed="false">
      <c r="A17" s="13" t="s">
        <v>64</v>
      </c>
      <c r="B17" s="6" t="s">
        <v>65</v>
      </c>
      <c r="C17" s="24" t="n">
        <f aca="false">C16/Inputs!C5</f>
        <v>1.10034269293131</v>
      </c>
    </row>
    <row r="18" customFormat="false" ht="19.5" hidden="false" customHeight="true" outlineLevel="0" collapsed="false">
      <c r="A18" s="33" t="s">
        <v>66</v>
      </c>
      <c r="B18" s="33"/>
      <c r="C18" s="33"/>
      <c r="D18" s="28" t="n">
        <f aca="false">C16</f>
        <v>22006853.8586263</v>
      </c>
    </row>
    <row r="20" customFormat="false" ht="18" hidden="false" customHeight="true" outlineLevel="0" collapsed="false">
      <c r="A20" s="14" t="s">
        <v>67</v>
      </c>
      <c r="B20" s="14"/>
      <c r="C20" s="14"/>
      <c r="D20" s="14"/>
      <c r="E20" s="14"/>
      <c r="F20" s="14"/>
      <c r="G20" s="14"/>
    </row>
    <row r="21" customFormat="false" ht="15" hidden="false" customHeight="true" outlineLevel="0" collapsed="false">
      <c r="A21" s="6" t="s">
        <v>68</v>
      </c>
      <c r="B21" s="34" t="n">
        <f aca="false">Inputs!C7</f>
        <v>1.093</v>
      </c>
    </row>
    <row r="22" customFormat="false" ht="15" hidden="false" customHeight="true" outlineLevel="0" collapsed="false">
      <c r="A22" s="6" t="s">
        <v>69</v>
      </c>
      <c r="B22" s="35" t="n">
        <f aca="false">C17</f>
        <v>1.10034269293131</v>
      </c>
    </row>
    <row r="23" customFormat="false" ht="15" hidden="false" customHeight="true" outlineLevel="0" collapsed="false">
      <c r="A23" s="6" t="s">
        <v>70</v>
      </c>
      <c r="B23" s="36" t="n">
        <f aca="false">(B21-B22)*10000</f>
        <v>-73.4269293131473</v>
      </c>
    </row>
    <row r="24" customFormat="false" ht="15" hidden="false" customHeight="true" outlineLevel="0" collapsed="false">
      <c r="A24" s="37" t="s">
        <v>71</v>
      </c>
      <c r="B24" s="38" t="str">
        <f aca="false">IF(ABS(B21-B22)&lt;0.0005,"Holds (&lt; 5 bps)","Divergence - review")</f>
        <v>Divergence - review</v>
      </c>
    </row>
  </sheetData>
  <mergeCells count="7">
    <mergeCell ref="A1:G1"/>
    <mergeCell ref="A2:G2"/>
    <mergeCell ref="A4:G4"/>
    <mergeCell ref="A10:C10"/>
    <mergeCell ref="A12:G12"/>
    <mergeCell ref="A18:C18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30"/>
  </cols>
  <sheetData>
    <row r="1" customFormat="false" ht="27.75" hidden="false" customHeight="true" outlineLevel="0" collapsed="false">
      <c r="A1" s="19" t="s">
        <v>72</v>
      </c>
      <c r="B1" s="19"/>
      <c r="C1" s="19"/>
      <c r="D1" s="19"/>
      <c r="E1" s="19"/>
      <c r="F1" s="19"/>
      <c r="G1" s="19"/>
      <c r="H1" s="19"/>
    </row>
    <row r="2" customFormat="false" ht="24" hidden="false" customHeight="true" outlineLevel="0" collapsed="false">
      <c r="A2" s="20" t="s">
        <v>73</v>
      </c>
      <c r="B2" s="20"/>
      <c r="C2" s="20"/>
      <c r="D2" s="20"/>
      <c r="E2" s="20"/>
      <c r="F2" s="20"/>
      <c r="G2" s="20"/>
      <c r="H2" s="20"/>
    </row>
    <row r="4" customFormat="false" ht="18" hidden="false" customHeight="true" outlineLevel="0" collapsed="false">
      <c r="A4" s="14" t="s">
        <v>74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39" t="s">
        <v>75</v>
      </c>
      <c r="C5" s="40" t="n">
        <v>1.093</v>
      </c>
      <c r="D5" s="41" t="s">
        <v>76</v>
      </c>
    </row>
    <row r="7" customFormat="false" ht="18" hidden="false" customHeight="true" outlineLevel="0" collapsed="false">
      <c r="A7" s="4" t="s">
        <v>77</v>
      </c>
      <c r="B7" s="4"/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A8" s="21" t="s">
        <v>78</v>
      </c>
      <c r="B8" s="21" t="s">
        <v>79</v>
      </c>
      <c r="C8" s="21" t="s">
        <v>45</v>
      </c>
    </row>
    <row r="9" customFormat="false" ht="15.75" hidden="false" customHeight="true" outlineLevel="0" collapsed="false">
      <c r="A9" s="6" t="s">
        <v>47</v>
      </c>
      <c r="B9" s="42"/>
      <c r="C9" s="22" t="n">
        <f aca="false">Inputs!C5</f>
        <v>20000000</v>
      </c>
    </row>
    <row r="10" customFormat="false" ht="15.75" hidden="false" customHeight="true" outlineLevel="0" collapsed="false">
      <c r="A10" s="6" t="s">
        <v>80</v>
      </c>
      <c r="B10" s="42"/>
      <c r="C10" s="24" t="n">
        <f aca="false">Inputs!C13</f>
        <v>1.07</v>
      </c>
    </row>
    <row r="11" customFormat="false" ht="15.75" hidden="false" customHeight="true" outlineLevel="0" collapsed="false">
      <c r="A11" s="6" t="s">
        <v>81</v>
      </c>
      <c r="B11" s="42"/>
      <c r="C11" s="34" t="n">
        <f aca="false">C5</f>
        <v>1.093</v>
      </c>
    </row>
    <row r="12" customFormat="false" ht="15.75" hidden="false" customHeight="true" outlineLevel="0" collapsed="false">
      <c r="A12" s="6" t="s">
        <v>82</v>
      </c>
      <c r="B12" s="42"/>
      <c r="C12" s="43" t="n">
        <f aca="false">MAX(C10-C11,0)</f>
        <v>0</v>
      </c>
    </row>
    <row r="13" customFormat="false" ht="15.75" hidden="false" customHeight="true" outlineLevel="0" collapsed="false">
      <c r="A13" s="6" t="s">
        <v>83</v>
      </c>
      <c r="B13" s="42"/>
      <c r="C13" s="25" t="n">
        <f aca="false">C12*C9</f>
        <v>0</v>
      </c>
    </row>
    <row r="14" customFormat="false" ht="15.75" hidden="false" customHeight="true" outlineLevel="0" collapsed="false">
      <c r="A14" s="6" t="s">
        <v>84</v>
      </c>
      <c r="B14" s="42"/>
      <c r="C14" s="44" t="n">
        <f aca="false">Inputs!C15*Inputs!C5</f>
        <v>170000</v>
      </c>
    </row>
    <row r="15" customFormat="false" ht="15.75" hidden="false" customHeight="true" outlineLevel="0" collapsed="false">
      <c r="A15" s="6" t="s">
        <v>85</v>
      </c>
      <c r="B15" s="42"/>
      <c r="C15" s="25" t="n">
        <f aca="false">C11*C9</f>
        <v>21860000</v>
      </c>
    </row>
    <row r="16" customFormat="false" ht="19.5" hidden="false" customHeight="true" outlineLevel="0" collapsed="false">
      <c r="A16" s="6" t="s">
        <v>86</v>
      </c>
      <c r="B16" s="42"/>
      <c r="C16" s="31" t="n">
        <f aca="false">C15+C13-C14</f>
        <v>21690000</v>
      </c>
    </row>
    <row r="17" customFormat="false" ht="15" hidden="false" customHeight="true" outlineLevel="0" collapsed="false">
      <c r="A17" s="27" t="s">
        <v>87</v>
      </c>
      <c r="B17" s="27"/>
      <c r="C17" s="45" t="n">
        <f aca="false">C16</f>
        <v>21690000</v>
      </c>
    </row>
    <row r="19" customFormat="false" ht="18" hidden="false" customHeight="true" outlineLevel="0" collapsed="false">
      <c r="A19" s="12" t="s">
        <v>88</v>
      </c>
      <c r="B19" s="12"/>
      <c r="C19" s="12"/>
      <c r="D19" s="12"/>
      <c r="E19" s="12"/>
      <c r="F19" s="12"/>
      <c r="G19" s="12"/>
      <c r="H19" s="12"/>
    </row>
    <row r="20" customFormat="false" ht="15" hidden="false" customHeight="true" outlineLevel="0" collapsed="false">
      <c r="A20" s="29" t="s">
        <v>78</v>
      </c>
      <c r="B20" s="29" t="s">
        <v>79</v>
      </c>
      <c r="C20" s="29" t="s">
        <v>45</v>
      </c>
    </row>
    <row r="21" customFormat="false" ht="15.75" hidden="false" customHeight="true" outlineLevel="0" collapsed="false">
      <c r="A21" s="6" t="s">
        <v>47</v>
      </c>
      <c r="B21" s="16"/>
      <c r="C21" s="46" t="n">
        <f aca="false">Inputs!C5</f>
        <v>20000000</v>
      </c>
    </row>
    <row r="22" customFormat="false" ht="15.75" hidden="false" customHeight="true" outlineLevel="0" collapsed="false">
      <c r="A22" s="6" t="s">
        <v>80</v>
      </c>
      <c r="B22" s="16"/>
      <c r="C22" s="24" t="n">
        <f aca="false">Inputs!C13</f>
        <v>1.07</v>
      </c>
    </row>
    <row r="23" customFormat="false" ht="15.75" hidden="false" customHeight="true" outlineLevel="0" collapsed="false">
      <c r="A23" s="6" t="s">
        <v>89</v>
      </c>
      <c r="B23" s="16"/>
      <c r="C23" s="35" t="n">
        <f aca="false">Inputs!C14</f>
        <v>1.12</v>
      </c>
    </row>
    <row r="24" customFormat="false" ht="15.75" hidden="false" customHeight="true" outlineLevel="0" collapsed="false">
      <c r="A24" s="6" t="s">
        <v>81</v>
      </c>
      <c r="B24" s="16"/>
      <c r="C24" s="24" t="n">
        <f aca="false">C5</f>
        <v>1.093</v>
      </c>
    </row>
    <row r="25" customFormat="false" ht="15.75" hidden="false" customHeight="true" outlineLevel="0" collapsed="false">
      <c r="A25" s="6" t="s">
        <v>82</v>
      </c>
      <c r="B25" s="16"/>
      <c r="C25" s="47" t="n">
        <f aca="false">MAX(C22-C24,0)</f>
        <v>0</v>
      </c>
    </row>
    <row r="26" customFormat="false" ht="15.75" hidden="false" customHeight="true" outlineLevel="0" collapsed="false">
      <c r="A26" s="6" t="s">
        <v>90</v>
      </c>
      <c r="B26" s="16"/>
      <c r="C26" s="43" t="n">
        <f aca="false">MAX(C24-C23,0)</f>
        <v>0</v>
      </c>
    </row>
    <row r="27" customFormat="false" ht="15.75" hidden="false" customHeight="true" outlineLevel="0" collapsed="false">
      <c r="A27" s="6" t="s">
        <v>91</v>
      </c>
      <c r="B27" s="16"/>
      <c r="C27" s="32" t="n">
        <f aca="false">(C25-C26)*C21</f>
        <v>0</v>
      </c>
    </row>
    <row r="28" customFormat="false" ht="15.75" hidden="false" customHeight="true" outlineLevel="0" collapsed="false">
      <c r="A28" s="6" t="s">
        <v>85</v>
      </c>
      <c r="B28" s="16"/>
      <c r="C28" s="31" t="n">
        <f aca="false">C24*C21</f>
        <v>21860000</v>
      </c>
    </row>
    <row r="29" customFormat="false" ht="15.75" hidden="false" customHeight="true" outlineLevel="0" collapsed="false">
      <c r="A29" s="6" t="s">
        <v>92</v>
      </c>
      <c r="B29" s="16"/>
      <c r="C29" s="32" t="n">
        <f aca="false">(Inputs!C15-Inputs!C16)*Inputs!C5</f>
        <v>0</v>
      </c>
    </row>
    <row r="30" customFormat="false" ht="15.75" hidden="false" customHeight="true" outlineLevel="0" collapsed="false">
      <c r="A30" s="6" t="s">
        <v>86</v>
      </c>
      <c r="B30" s="16"/>
      <c r="C30" s="31" t="n">
        <f aca="false">C28+C27-C29</f>
        <v>21860000</v>
      </c>
    </row>
    <row r="31" customFormat="false" ht="19.5" hidden="false" customHeight="true" outlineLevel="0" collapsed="false">
      <c r="A31" s="33" t="s">
        <v>93</v>
      </c>
      <c r="B31" s="33"/>
      <c r="C31" s="45" t="n">
        <f aca="false">C30</f>
        <v>21860000</v>
      </c>
    </row>
  </sheetData>
  <mergeCells count="7">
    <mergeCell ref="A1:H1"/>
    <mergeCell ref="A2:H2"/>
    <mergeCell ref="A4:H4"/>
    <mergeCell ref="A7:H7"/>
    <mergeCell ref="A17:B17"/>
    <mergeCell ref="A19:H19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7" min="2" style="1" width="18"/>
  </cols>
  <sheetData>
    <row r="1" customFormat="false" ht="27.75" hidden="false" customHeight="true" outlineLevel="0" collapsed="false">
      <c r="A1" s="19" t="s">
        <v>94</v>
      </c>
      <c r="B1" s="19"/>
      <c r="C1" s="19"/>
      <c r="D1" s="19"/>
      <c r="E1" s="19"/>
      <c r="F1" s="19"/>
      <c r="G1" s="19"/>
    </row>
    <row r="2" customFormat="false" ht="21.75" hidden="false" customHeight="true" outlineLevel="0" collapsed="false">
      <c r="A2" s="20" t="s">
        <v>95</v>
      </c>
      <c r="B2" s="20"/>
      <c r="C2" s="20"/>
      <c r="D2" s="20"/>
      <c r="E2" s="20"/>
      <c r="F2" s="20"/>
      <c r="G2" s="20"/>
    </row>
    <row r="4" customFormat="false" ht="30" hidden="false" customHeight="true" outlineLevel="0" collapsed="false">
      <c r="A4" s="48" t="s">
        <v>96</v>
      </c>
      <c r="B4" s="49" t="s">
        <v>97</v>
      </c>
      <c r="C4" s="50" t="s">
        <v>98</v>
      </c>
      <c r="D4" s="51" t="s">
        <v>99</v>
      </c>
      <c r="E4" s="52" t="s">
        <v>100</v>
      </c>
      <c r="F4" s="48" t="s">
        <v>101</v>
      </c>
      <c r="G4" s="48" t="s">
        <v>102</v>
      </c>
    </row>
    <row r="5" customFormat="false" ht="15.75" hidden="false" customHeight="true" outlineLevel="0" collapsed="false">
      <c r="A5" s="53" t="n">
        <f aca="false">Inputs!C5*(1+-0.05)</f>
        <v>19000000</v>
      </c>
      <c r="B5" s="54" t="n">
        <f aca="false">A5*Inputs!C5</f>
        <v>380000000000000</v>
      </c>
      <c r="C5" s="55" t="n">
        <f aca="false">Inputs!C6*Inputs!C5</f>
        <v>21860000</v>
      </c>
      <c r="D5" s="54" t="n">
        <f aca="false">A5*Inputs!C5+MAX(Inputs!C13-A5,0)*Inputs!C5-Inputs!C15*Inputs!C5</f>
        <v>379999999830000</v>
      </c>
      <c r="E5" s="56" t="n">
        <f aca="false">A5*Inputs!C5+MAX(Inputs!C13-A5,0)*Inputs!C5-MAX(A5-Inputs!C14,0)*Inputs!C5-(Inputs!C15-Inputs!C16)*Inputs!C5</f>
        <v>22400000</v>
      </c>
      <c r="F5" s="57" t="str">
        <f aca="false">IF(AND(B5&gt;=C5,B5&gt;=D5,B5&gt;=E5),"Unhedged",IF(AND(C5&gt;=B5,C5&gt;=D5,C5&gt;=E5),"Forward",IF(D5&gt;=E5,"Long Put","Collar")))</f>
        <v>Unhedged</v>
      </c>
      <c r="G5" s="58" t="n">
        <f aca="false">D5-C5</f>
        <v>379999977970000</v>
      </c>
    </row>
    <row r="6" customFormat="false" ht="15.75" hidden="false" customHeight="true" outlineLevel="0" collapsed="false">
      <c r="A6" s="53" t="n">
        <f aca="false">Inputs!C5*(1+-0.04)</f>
        <v>19200000</v>
      </c>
      <c r="B6" s="54" t="n">
        <f aca="false">A6*Inputs!C5</f>
        <v>384000000000000</v>
      </c>
      <c r="C6" s="55" t="n">
        <f aca="false">Inputs!C6*Inputs!C5</f>
        <v>21860000</v>
      </c>
      <c r="D6" s="54" t="n">
        <f aca="false">A6*Inputs!C5+MAX(Inputs!C13-A6,0)*Inputs!C5-Inputs!C15*Inputs!C5</f>
        <v>383999999830000</v>
      </c>
      <c r="E6" s="56" t="n">
        <f aca="false">A6*Inputs!C5+MAX(Inputs!C13-A6,0)*Inputs!C5-MAX(A6-Inputs!C14,0)*Inputs!C5-(Inputs!C15-Inputs!C16)*Inputs!C5</f>
        <v>22400000</v>
      </c>
      <c r="F6" s="57" t="str">
        <f aca="false">IF(AND(B6&gt;=C6,B6&gt;=D6,B6&gt;=E6),"Unhedged",IF(AND(C6&gt;=B6,C6&gt;=D6,C6&gt;=E6),"Forward",IF(D6&gt;=E6,"Long Put","Collar")))</f>
        <v>Unhedged</v>
      </c>
      <c r="G6" s="58" t="n">
        <f aca="false">D6-C6</f>
        <v>383999977970000</v>
      </c>
    </row>
    <row r="7" customFormat="false" ht="15.75" hidden="false" customHeight="true" outlineLevel="0" collapsed="false">
      <c r="A7" s="53" t="n">
        <f aca="false">Inputs!C5*(1+-0.03)</f>
        <v>19400000</v>
      </c>
      <c r="B7" s="54" t="n">
        <f aca="false">A7*Inputs!C5</f>
        <v>388000000000000</v>
      </c>
      <c r="C7" s="55" t="n">
        <f aca="false">Inputs!C6*Inputs!C5</f>
        <v>21860000</v>
      </c>
      <c r="D7" s="54" t="n">
        <f aca="false">A7*Inputs!C5+MAX(Inputs!C13-A7,0)*Inputs!C5-Inputs!C15*Inputs!C5</f>
        <v>387999999830000</v>
      </c>
      <c r="E7" s="56" t="n">
        <f aca="false">A7*Inputs!C5+MAX(Inputs!C13-A7,0)*Inputs!C5-MAX(A7-Inputs!C14,0)*Inputs!C5-(Inputs!C15-Inputs!C16)*Inputs!C5</f>
        <v>22400000</v>
      </c>
      <c r="F7" s="57" t="str">
        <f aca="false">IF(AND(B7&gt;=C7,B7&gt;=D7,B7&gt;=E7),"Unhedged",IF(AND(C7&gt;=B7,C7&gt;=D7,C7&gt;=E7),"Forward",IF(D7&gt;=E7,"Long Put","Collar")))</f>
        <v>Unhedged</v>
      </c>
      <c r="G7" s="58" t="n">
        <f aca="false">D7-C7</f>
        <v>387999977970000</v>
      </c>
    </row>
    <row r="8" customFormat="false" ht="15.75" hidden="false" customHeight="true" outlineLevel="0" collapsed="false">
      <c r="A8" s="53" t="n">
        <f aca="false">Inputs!C5*(1+-0.02)</f>
        <v>19600000</v>
      </c>
      <c r="B8" s="54" t="n">
        <f aca="false">A8*Inputs!C5</f>
        <v>392000000000000</v>
      </c>
      <c r="C8" s="55" t="n">
        <f aca="false">Inputs!C6*Inputs!C5</f>
        <v>21860000</v>
      </c>
      <c r="D8" s="54" t="n">
        <f aca="false">A8*Inputs!C5+MAX(Inputs!C13-A8,0)*Inputs!C5-Inputs!C15*Inputs!C5</f>
        <v>391999999830000</v>
      </c>
      <c r="E8" s="56" t="n">
        <f aca="false">A8*Inputs!C5+MAX(Inputs!C13-A8,0)*Inputs!C5-MAX(A8-Inputs!C14,0)*Inputs!C5-(Inputs!C15-Inputs!C16)*Inputs!C5</f>
        <v>22400000</v>
      </c>
      <c r="F8" s="57" t="str">
        <f aca="false">IF(AND(B8&gt;=C8,B8&gt;=D8,B8&gt;=E8),"Unhedged",IF(AND(C8&gt;=B8,C8&gt;=D8,C8&gt;=E8),"Forward",IF(D8&gt;=E8,"Long Put","Collar")))</f>
        <v>Unhedged</v>
      </c>
      <c r="G8" s="58" t="n">
        <f aca="false">D8-C8</f>
        <v>391999977970000</v>
      </c>
    </row>
    <row r="9" customFormat="false" ht="15.75" hidden="false" customHeight="true" outlineLevel="0" collapsed="false">
      <c r="A9" s="53" t="n">
        <f aca="false">Inputs!C5*(1+-0.01)</f>
        <v>19800000</v>
      </c>
      <c r="B9" s="54" t="n">
        <f aca="false">A9*Inputs!C5</f>
        <v>396000000000000</v>
      </c>
      <c r="C9" s="55" t="n">
        <f aca="false">Inputs!C6*Inputs!C5</f>
        <v>21860000</v>
      </c>
      <c r="D9" s="54" t="n">
        <f aca="false">A9*Inputs!C5+MAX(Inputs!C13-A9,0)*Inputs!C5-Inputs!C15*Inputs!C5</f>
        <v>395999999830000</v>
      </c>
      <c r="E9" s="56" t="n">
        <f aca="false">A9*Inputs!C5+MAX(Inputs!C13-A9,0)*Inputs!C5-MAX(A9-Inputs!C14,0)*Inputs!C5-(Inputs!C15-Inputs!C16)*Inputs!C5</f>
        <v>22400000</v>
      </c>
      <c r="F9" s="57" t="str">
        <f aca="false">IF(AND(B9&gt;=C9,B9&gt;=D9,B9&gt;=E9),"Unhedged",IF(AND(C9&gt;=B9,C9&gt;=D9,C9&gt;=E9),"Forward",IF(D9&gt;=E9,"Long Put","Collar")))</f>
        <v>Unhedged</v>
      </c>
      <c r="G9" s="58" t="n">
        <f aca="false">D9-C9</f>
        <v>395999977970000</v>
      </c>
    </row>
    <row r="10" customFormat="false" ht="15.75" hidden="false" customHeight="true" outlineLevel="0" collapsed="false">
      <c r="A10" s="53" t="n">
        <f aca="false">Inputs!C5*(1+0)</f>
        <v>20000000</v>
      </c>
      <c r="B10" s="54" t="n">
        <f aca="false">A10*Inputs!C5</f>
        <v>400000000000000</v>
      </c>
      <c r="C10" s="55" t="n">
        <f aca="false">Inputs!C6*Inputs!C5</f>
        <v>21860000</v>
      </c>
      <c r="D10" s="54" t="n">
        <f aca="false">A10*Inputs!C5+MAX(Inputs!C13-A10,0)*Inputs!C5-Inputs!C15*Inputs!C5</f>
        <v>399999999830000</v>
      </c>
      <c r="E10" s="56" t="n">
        <f aca="false">A10*Inputs!C5+MAX(Inputs!C13-A10,0)*Inputs!C5-MAX(A10-Inputs!C14,0)*Inputs!C5-(Inputs!C15-Inputs!C16)*Inputs!C5</f>
        <v>22400000</v>
      </c>
      <c r="F10" s="57" t="str">
        <f aca="false">IF(AND(B10&gt;=C10,B10&gt;=D10,B10&gt;=E10),"Unhedged",IF(AND(C10&gt;=B10,C10&gt;=D10,C10&gt;=E10),"Forward",IF(D10&gt;=E10,"Long Put","Collar")))</f>
        <v>Unhedged</v>
      </c>
      <c r="G10" s="58" t="n">
        <f aca="false">D10-C10</f>
        <v>399999977970000</v>
      </c>
    </row>
    <row r="11" customFormat="false" ht="15.75" hidden="false" customHeight="true" outlineLevel="0" collapsed="false">
      <c r="A11" s="53" t="n">
        <f aca="false">Inputs!C5*(1+0.01)</f>
        <v>20200000</v>
      </c>
      <c r="B11" s="54" t="n">
        <f aca="false">A11*Inputs!C5</f>
        <v>404000000000000</v>
      </c>
      <c r="C11" s="55" t="n">
        <f aca="false">Inputs!C6*Inputs!C5</f>
        <v>21860000</v>
      </c>
      <c r="D11" s="54" t="n">
        <f aca="false">A11*Inputs!C5+MAX(Inputs!C13-A11,0)*Inputs!C5-Inputs!C15*Inputs!C5</f>
        <v>403999999830000</v>
      </c>
      <c r="E11" s="56" t="n">
        <f aca="false">A11*Inputs!C5+MAX(Inputs!C13-A11,0)*Inputs!C5-MAX(A11-Inputs!C14,0)*Inputs!C5-(Inputs!C15-Inputs!C16)*Inputs!C5</f>
        <v>22400000</v>
      </c>
      <c r="F11" s="57" t="str">
        <f aca="false">IF(AND(B11&gt;=C11,B11&gt;=D11,B11&gt;=E11),"Unhedged",IF(AND(C11&gt;=B11,C11&gt;=D11,C11&gt;=E11),"Forward",IF(D11&gt;=E11,"Long Put","Collar")))</f>
        <v>Unhedged</v>
      </c>
      <c r="G11" s="58" t="n">
        <f aca="false">D11-C11</f>
        <v>403999977970000</v>
      </c>
    </row>
    <row r="12" customFormat="false" ht="15.75" hidden="false" customHeight="true" outlineLevel="0" collapsed="false">
      <c r="A12" s="53" t="n">
        <f aca="false">Inputs!C5*(1+0.02)</f>
        <v>20400000</v>
      </c>
      <c r="B12" s="54" t="n">
        <f aca="false">A12*Inputs!C5</f>
        <v>408000000000000</v>
      </c>
      <c r="C12" s="55" t="n">
        <f aca="false">Inputs!C6*Inputs!C5</f>
        <v>21860000</v>
      </c>
      <c r="D12" s="54" t="n">
        <f aca="false">A12*Inputs!C5+MAX(Inputs!C13-A12,0)*Inputs!C5-Inputs!C15*Inputs!C5</f>
        <v>407999999830000</v>
      </c>
      <c r="E12" s="56" t="n">
        <f aca="false">A12*Inputs!C5+MAX(Inputs!C13-A12,0)*Inputs!C5-MAX(A12-Inputs!C14,0)*Inputs!C5-(Inputs!C15-Inputs!C16)*Inputs!C5</f>
        <v>22400000</v>
      </c>
      <c r="F12" s="57" t="str">
        <f aca="false">IF(AND(B12&gt;=C12,B12&gt;=D12,B12&gt;=E12),"Unhedged",IF(AND(C12&gt;=B12,C12&gt;=D12,C12&gt;=E12),"Forward",IF(D12&gt;=E12,"Long Put","Collar")))</f>
        <v>Unhedged</v>
      </c>
      <c r="G12" s="58" t="n">
        <f aca="false">D12-C12</f>
        <v>407999977970000</v>
      </c>
    </row>
    <row r="13" customFormat="false" ht="15.75" hidden="false" customHeight="true" outlineLevel="0" collapsed="false">
      <c r="A13" s="53" t="n">
        <f aca="false">Inputs!C5*(1+0.03)</f>
        <v>20600000</v>
      </c>
      <c r="B13" s="54" t="n">
        <f aca="false">A13*Inputs!C5</f>
        <v>412000000000000</v>
      </c>
      <c r="C13" s="55" t="n">
        <f aca="false">Inputs!C6*Inputs!C5</f>
        <v>21860000</v>
      </c>
      <c r="D13" s="54" t="n">
        <f aca="false">A13*Inputs!C5+MAX(Inputs!C13-A13,0)*Inputs!C5-Inputs!C15*Inputs!C5</f>
        <v>411999999830000</v>
      </c>
      <c r="E13" s="56" t="n">
        <f aca="false">A13*Inputs!C5+MAX(Inputs!C13-A13,0)*Inputs!C5-MAX(A13-Inputs!C14,0)*Inputs!C5-(Inputs!C15-Inputs!C16)*Inputs!C5</f>
        <v>22400000</v>
      </c>
      <c r="F13" s="57" t="str">
        <f aca="false">IF(AND(B13&gt;=C13,B13&gt;=D13,B13&gt;=E13),"Unhedged",IF(AND(C13&gt;=B13,C13&gt;=D13,C13&gt;=E13),"Forward",IF(D13&gt;=E13,"Long Put","Collar")))</f>
        <v>Unhedged</v>
      </c>
      <c r="G13" s="58" t="n">
        <f aca="false">D13-C13</f>
        <v>411999977970000</v>
      </c>
    </row>
    <row r="14" customFormat="false" ht="15.75" hidden="false" customHeight="true" outlineLevel="0" collapsed="false">
      <c r="A14" s="53" t="n">
        <f aca="false">Inputs!C5*(1+0.04)</f>
        <v>20800000</v>
      </c>
      <c r="B14" s="54" t="n">
        <f aca="false">A14*Inputs!C5</f>
        <v>416000000000000</v>
      </c>
      <c r="C14" s="55" t="n">
        <f aca="false">Inputs!C6*Inputs!C5</f>
        <v>21860000</v>
      </c>
      <c r="D14" s="54" t="n">
        <f aca="false">A14*Inputs!C5+MAX(Inputs!C13-A14,0)*Inputs!C5-Inputs!C15*Inputs!C5</f>
        <v>415999999830000</v>
      </c>
      <c r="E14" s="56" t="n">
        <f aca="false">A14*Inputs!C5+MAX(Inputs!C13-A14,0)*Inputs!C5-MAX(A14-Inputs!C14,0)*Inputs!C5-(Inputs!C15-Inputs!C16)*Inputs!C5</f>
        <v>22400000</v>
      </c>
      <c r="F14" s="57" t="str">
        <f aca="false">IF(AND(B14&gt;=C14,B14&gt;=D14,B14&gt;=E14),"Unhedged",IF(AND(C14&gt;=B14,C14&gt;=D14,C14&gt;=E14),"Forward",IF(D14&gt;=E14,"Long Put","Collar")))</f>
        <v>Unhedged</v>
      </c>
      <c r="G14" s="58" t="n">
        <f aca="false">D14-C14</f>
        <v>415999977970000</v>
      </c>
    </row>
    <row r="15" customFormat="false" ht="15.75" hidden="false" customHeight="true" outlineLevel="0" collapsed="false">
      <c r="A15" s="53" t="n">
        <f aca="false">Inputs!C5*(1+0.05)</f>
        <v>21000000</v>
      </c>
      <c r="B15" s="54" t="n">
        <f aca="false">A15*Inputs!C5</f>
        <v>420000000000000</v>
      </c>
      <c r="C15" s="55" t="n">
        <f aca="false">Inputs!C6*Inputs!C5</f>
        <v>21860000</v>
      </c>
      <c r="D15" s="54" t="n">
        <f aca="false">A15*Inputs!C5+MAX(Inputs!C13-A15,0)*Inputs!C5-Inputs!C15*Inputs!C5</f>
        <v>419999999830000</v>
      </c>
      <c r="E15" s="56" t="n">
        <f aca="false">A15*Inputs!C5+MAX(Inputs!C13-A15,0)*Inputs!C5-MAX(A15-Inputs!C14,0)*Inputs!C5-(Inputs!C15-Inputs!C16)*Inputs!C5</f>
        <v>22400000</v>
      </c>
      <c r="F15" s="57" t="str">
        <f aca="false">IF(AND(B15&gt;=C15,B15&gt;=D15,B15&gt;=E15),"Unhedged",IF(AND(C15&gt;=B15,C15&gt;=D15,C15&gt;=E15),"Forward",IF(D15&gt;=E15,"Long Put","Collar")))</f>
        <v>Unhedged</v>
      </c>
      <c r="G15" s="58" t="n">
        <f aca="false">D15-C15</f>
        <v>419999977970000</v>
      </c>
    </row>
  </sheetData>
  <mergeCells count="2">
    <mergeCell ref="A1:G1"/>
    <mergeCell ref="A2:G2"/>
  </mergeCells>
  <conditionalFormatting sqref="G5:G15">
    <cfRule type="colorScale" priority="2">
      <colorScale>
        <cfvo type="min" val="0"/>
        <cfvo type="num" val="0"/>
        <cfvo type="max" val="0"/>
        <color rgb="FFF4CCCC"/>
        <color rgb="FFFFFFFF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4" min="3" style="1" width="20"/>
    <col collapsed="false" customWidth="true" hidden="false" outlineLevel="0" max="5" min="5" style="1" width="16"/>
    <col collapsed="false" customWidth="true" hidden="false" outlineLevel="0" max="6" min="6" style="1" width="40"/>
  </cols>
  <sheetData>
    <row r="1" customFormat="false" ht="31.5" hidden="false" customHeight="true" outlineLevel="0" collapsed="false">
      <c r="A1" s="2" t="s">
        <v>103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59" t="s">
        <v>104</v>
      </c>
      <c r="B2" s="59"/>
      <c r="C2" s="59"/>
      <c r="D2" s="59"/>
      <c r="E2" s="59"/>
      <c r="F2" s="59"/>
    </row>
    <row r="4" customFormat="false" ht="18" hidden="false" customHeight="true" outlineLevel="0" collapsed="false">
      <c r="A4" s="4" t="s">
        <v>105</v>
      </c>
      <c r="B4" s="4"/>
      <c r="C4" s="4"/>
      <c r="D4" s="4"/>
      <c r="E4" s="4"/>
      <c r="F4" s="4"/>
    </row>
    <row r="5" customFormat="false" ht="21.75" hidden="false" customHeight="true" outlineLevel="0" collapsed="false">
      <c r="A5" s="48" t="s">
        <v>106</v>
      </c>
      <c r="B5" s="48" t="s">
        <v>107</v>
      </c>
      <c r="C5" s="48" t="s">
        <v>108</v>
      </c>
      <c r="D5" s="48" t="s">
        <v>86</v>
      </c>
      <c r="E5" s="48" t="s">
        <v>109</v>
      </c>
      <c r="F5" s="48" t="s">
        <v>110</v>
      </c>
    </row>
    <row r="6" customFormat="false" ht="18" hidden="false" customHeight="true" outlineLevel="0" collapsed="false">
      <c r="A6" s="60" t="s">
        <v>111</v>
      </c>
      <c r="B6" s="54" t="n">
        <f aca="false">Inputs!C7*Inputs!C5</f>
        <v>21860000</v>
      </c>
      <c r="C6" s="8" t="s">
        <v>112</v>
      </c>
      <c r="D6" s="61" t="n">
        <f aca="false">Inputs!C7*Inputs!C5</f>
        <v>21860000</v>
      </c>
      <c r="E6" s="58" t="n">
        <f aca="false">D6-D6</f>
        <v>0</v>
      </c>
      <c r="F6" s="62" t="s">
        <v>113</v>
      </c>
    </row>
    <row r="7" customFormat="false" ht="18" hidden="false" customHeight="true" outlineLevel="0" collapsed="false">
      <c r="A7" s="63" t="s">
        <v>114</v>
      </c>
      <c r="B7" s="55" t="n">
        <f aca="false">Inputs!C7*Inputs!C5</f>
        <v>21860000</v>
      </c>
      <c r="C7" s="64" t="s">
        <v>115</v>
      </c>
      <c r="D7" s="65" t="n">
        <f aca="false">Inputs!C7*Inputs!C5</f>
        <v>21860000</v>
      </c>
      <c r="E7" s="66" t="n">
        <f aca="false">D7-D6</f>
        <v>0</v>
      </c>
      <c r="F7" s="67" t="s">
        <v>116</v>
      </c>
    </row>
    <row r="8" customFormat="false" ht="18" hidden="false" customHeight="true" outlineLevel="0" collapsed="false">
      <c r="A8" s="68" t="s">
        <v>117</v>
      </c>
      <c r="B8" s="15" t="n">
        <f aca="false">Inputs!C7*Inputs!C5</f>
        <v>21860000</v>
      </c>
      <c r="C8" s="69" t="n">
        <f aca="false">(Inputs!C15*Inputs!C5)</f>
        <v>170000</v>
      </c>
      <c r="D8" s="70" t="n">
        <f aca="false">B8-C8</f>
        <v>21690000</v>
      </c>
      <c r="E8" s="71" t="n">
        <f aca="false">D8-D6</f>
        <v>-170000</v>
      </c>
      <c r="F8" s="72" t="s">
        <v>118</v>
      </c>
    </row>
    <row r="9" customFormat="false" ht="18" hidden="false" customHeight="true" outlineLevel="0" collapsed="false">
      <c r="A9" s="73" t="s">
        <v>119</v>
      </c>
      <c r="B9" s="56" t="n">
        <f aca="false">Inputs!C7*Inputs!C5</f>
        <v>21860000</v>
      </c>
      <c r="C9" s="74" t="n">
        <f aca="false">(Inputs!C15-Inputs!C16)*Inputs!C5</f>
        <v>0</v>
      </c>
      <c r="D9" s="75" t="n">
        <f aca="false">B9-C9</f>
        <v>21860000</v>
      </c>
      <c r="E9" s="76" t="n">
        <f aca="false">D9-D6</f>
        <v>0</v>
      </c>
      <c r="F9" s="77" t="s">
        <v>120</v>
      </c>
    </row>
    <row r="11" customFormat="false" ht="18" hidden="false" customHeight="true" outlineLevel="0" collapsed="false">
      <c r="A11" s="12" t="s">
        <v>121</v>
      </c>
      <c r="B11" s="12"/>
      <c r="C11" s="12"/>
      <c r="D11" s="12"/>
      <c r="E11" s="12"/>
      <c r="F11" s="12"/>
    </row>
    <row r="12" customFormat="false" ht="15.75" hidden="false" customHeight="true" outlineLevel="0" collapsed="false">
      <c r="A12" s="6" t="s">
        <v>122</v>
      </c>
      <c r="B12" s="32" t="n">
        <f aca="false">Inputs!C5*0.01</f>
        <v>200000</v>
      </c>
    </row>
    <row r="13" customFormat="false" ht="15.75" hidden="false" customHeight="true" outlineLevel="0" collapsed="false">
      <c r="A13" s="6" t="s">
        <v>123</v>
      </c>
      <c r="B13" s="32" t="n">
        <f aca="false">Inputs!C5*0.1</f>
        <v>2000000</v>
      </c>
    </row>
    <row r="14" customFormat="false" ht="15.75" hidden="false" customHeight="true" outlineLevel="0" collapsed="false">
      <c r="A14" s="6" t="s">
        <v>124</v>
      </c>
      <c r="B14" s="35" t="n">
        <f aca="false">Inputs!C7</f>
        <v>1.093</v>
      </c>
    </row>
    <row r="15" customFormat="false" ht="15.75" hidden="false" customHeight="true" outlineLevel="0" collapsed="false">
      <c r="A15" s="6" t="s">
        <v>125</v>
      </c>
      <c r="B15" s="35" t="n">
        <f aca="false">(Inputs!C13*Inputs!C5 - Inputs!C15*Inputs!C5)/Inputs!C5</f>
        <v>1.0615</v>
      </c>
    </row>
    <row r="16" customFormat="false" ht="15.75" hidden="false" customHeight="true" outlineLevel="0" collapsed="false">
      <c r="A16" s="6" t="s">
        <v>126</v>
      </c>
      <c r="B16" s="35" t="n">
        <f aca="false">Inputs!C13</f>
        <v>1.07</v>
      </c>
    </row>
    <row r="17" customFormat="false" ht="15.75" hidden="false" customHeight="true" outlineLevel="0" collapsed="false">
      <c r="A17" s="6" t="s">
        <v>127</v>
      </c>
      <c r="B17" s="35" t="n">
        <f aca="false">Inputs!C14</f>
        <v>1.12</v>
      </c>
    </row>
  </sheetData>
  <mergeCells count="4">
    <mergeCell ref="A1:F1"/>
    <mergeCell ref="A2:F2"/>
    <mergeCell ref="A4:F4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2026-04-15T09:03:17Z</dcterms:created>
  <dc:creator>openpyxl</dc:creator>
  <dc:description/>
  <dc:language>en-US</dc:language>
  <cp:lastModifiedBy/>
  <dcterms:modified xsi:type="dcterms:W3CDTF">2026-04-15T09:05:18Z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